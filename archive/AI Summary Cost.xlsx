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ipstrategiesinc-my.sharepoint.com/personal/tip_theoryintopractice_com/Documents/ANALYSIS/DELIVERABLE TOOLS - Tableau/_dashboards/Baseline/components/AI Summary/"/>
    </mc:Choice>
  </mc:AlternateContent>
  <xr:revisionPtr revIDLastSave="25" documentId="8_{C786D8E3-4EB3-418D-8DFF-8F6F4791E456}" xr6:coauthVersionLast="47" xr6:coauthVersionMax="47" xr10:uidLastSave="{5AEA68AB-BC06-48FF-8119-6A45BD442BAB}"/>
  <bookViews>
    <workbookView xWindow="57480" yWindow="-8955" windowWidth="38640" windowHeight="211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  <c r="D20" i="1"/>
  <c r="C20" i="1"/>
  <c r="B20" i="1"/>
  <c r="D19" i="1"/>
  <c r="C19" i="1"/>
  <c r="B19" i="1"/>
  <c r="D14" i="1"/>
  <c r="D24" i="1" s="1"/>
  <c r="C14" i="1"/>
  <c r="C24" i="1" s="1"/>
  <c r="B14" i="1"/>
  <c r="B24" i="1" s="1"/>
  <c r="D13" i="1"/>
  <c r="D23" i="1" s="1"/>
  <c r="C13" i="1"/>
  <c r="C15" i="1" s="1"/>
  <c r="C25" i="1" s="1"/>
  <c r="B13" i="1"/>
  <c r="B15" i="1" s="1"/>
  <c r="B25" i="1" s="1"/>
  <c r="D12" i="1"/>
  <c r="D22" i="1" s="1"/>
  <c r="C12" i="1"/>
  <c r="C22" i="1" s="1"/>
  <c r="B12" i="1"/>
  <c r="B22" i="1" s="1"/>
  <c r="B16" i="1" l="1"/>
  <c r="B26" i="1" s="1"/>
  <c r="D15" i="1"/>
  <c r="D25" i="1" s="1"/>
  <c r="C16" i="1"/>
  <c r="C26" i="1" s="1"/>
  <c r="B23" i="1"/>
  <c r="C23" i="1"/>
  <c r="D16" i="1" l="1"/>
  <c r="D26" i="1" s="1"/>
</calcChain>
</file>

<file path=xl/sharedStrings.xml><?xml version="1.0" encoding="utf-8"?>
<sst xmlns="http://schemas.openxmlformats.org/spreadsheetml/2006/main" count="35" uniqueCount="27">
  <si>
    <t>Expense &amp; Workload Item</t>
  </si>
  <si>
    <t>Scenario 1 (CPU + Local)</t>
  </si>
  <si>
    <t>Scenario 2 (GPU Local)</t>
  </si>
  <si>
    <t>Scenario 3 (CPU + AI API)</t>
  </si>
  <si>
    <t>Machine / VM Type</t>
  </si>
  <si>
    <t>e2-standard-4</t>
  </si>
  <si>
    <t>g2-standard-4 (1x L4 GPU)</t>
  </si>
  <si>
    <t>Notes</t>
  </si>
  <si>
    <t>Hard to get allotted one due to high demand</t>
  </si>
  <si>
    <t>Machine Cost per Hour</t>
  </si>
  <si>
    <t>API Cost: Input (per 1M tokens)</t>
  </si>
  <si>
    <t>API Cost: Output (per 1M tokens)</t>
  </si>
  <si>
    <t>1 PROJECT BASELINE (~26 Metrics)</t>
  </si>
  <si>
    <t>Total Input Tokens</t>
  </si>
  <si>
    <t>Total Output Tokens</t>
  </si>
  <si>
    <t>Machine Runtime (Hours)</t>
  </si>
  <si>
    <t>Compute Cost (VM)</t>
  </si>
  <si>
    <t>API Cost: Input</t>
  </si>
  <si>
    <t>API Cost: Output</t>
  </si>
  <si>
    <t>Total API Cost</t>
  </si>
  <si>
    <t>GRAND TOTAL (1 PROJECT)</t>
  </si>
  <si>
    <t>10 PROJECTS SCALED (Sequential)</t>
  </si>
  <si>
    <t>GRAND TOTAL (10 PROJECTS)</t>
  </si>
  <si>
    <t>Using Gemini 3.1 Flash-Lite, would likely get higher quality 
(The latest Small Model Gmeini 3.5 Flash would be $1.5 input and $9 output / 1M token)</t>
  </si>
  <si>
    <t>Sources</t>
  </si>
  <si>
    <t>https://cloud.google.com/gemini-enterprise-agent-platform/generative-ai/pricing</t>
  </si>
  <si>
    <t>https://cloud.google.com/products/gemini-enterprise-agent-platform/pricing?hl=en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</si>
</sst>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0" fontId="1" fillId="0" borderId="0" xfId="0" applyFont="1" applyAlignment="1"/>
    <xf numFmtId="0" fontId="0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$&quot;#,##0.00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$&quot;#,##0.00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$&quot;#,##0.00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D094A-5781-4780-A68A-57B8362F166F}" name="Table1" displayName="Table1" ref="A1:D26" totalsRowShown="0" headerRowDxfId="5" dataDxfId="4">
  <autoFilter ref="A1:D26" xr:uid="{AD8D094A-5781-4780-A68A-57B8362F166F}"/>
  <tableColumns count="4">
    <tableColumn id="1" xr3:uid="{DA9DBEB3-7F9D-41C5-98FF-85C9C074921A}" name="Expense &amp; Workload Item" dataDxfId="3"/>
    <tableColumn id="2" xr3:uid="{C35E07C2-BD32-498D-938F-B1A242918098}" name="Scenario 1 (CPU + Local)" dataDxfId="2"/>
    <tableColumn id="3" xr3:uid="{F7E9E40D-AC0B-4BB9-86BD-6D8BD939D471}" name="Scenario 2 (GPU Local)" dataDxfId="1"/>
    <tableColumn id="4" xr3:uid="{9D76C9BF-0D9A-4FA3-B9BD-0D030B3B6DE5}" name="Scenario 3 (CPU + AI API)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C35" sqref="C35"/>
    </sheetView>
  </sheetViews>
  <sheetFormatPr defaultColWidth="12.7109375" defaultRowHeight="15.75" customHeight="1" x14ac:dyDescent="0.2"/>
  <cols>
    <col min="1" max="1" width="26.7109375" style="6" customWidth="1"/>
    <col min="2" max="2" width="26.28515625" style="6" bestFit="1" customWidth="1"/>
    <col min="3" max="3" width="24.7109375" style="6" bestFit="1" customWidth="1"/>
    <col min="4" max="4" width="26.85546875" style="6" bestFit="1" customWidth="1"/>
    <col min="5" max="16384" width="12.7109375" style="6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x14ac:dyDescent="0.2">
      <c r="A2" s="1" t="s">
        <v>4</v>
      </c>
      <c r="B2" s="1" t="s">
        <v>5</v>
      </c>
      <c r="C2" s="1" t="s">
        <v>6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7" customHeight="1" x14ac:dyDescent="0.2">
      <c r="A3" s="1" t="s">
        <v>7</v>
      </c>
      <c r="B3" s="2"/>
      <c r="C3" s="2" t="s">
        <v>8</v>
      </c>
      <c r="D3" s="11" t="s">
        <v>23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 t="s">
        <v>9</v>
      </c>
      <c r="B4" s="2">
        <v>0.15412627600000001</v>
      </c>
      <c r="C4" s="2">
        <v>0.81293000000000004</v>
      </c>
      <c r="D4" s="2">
        <v>0.15412627600000001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x14ac:dyDescent="0.2">
      <c r="A5" s="1" t="s">
        <v>10</v>
      </c>
      <c r="B5" s="2">
        <v>0</v>
      </c>
      <c r="C5" s="2">
        <v>0</v>
      </c>
      <c r="D5" s="2">
        <v>0.25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2">
      <c r="A6" s="1" t="s">
        <v>11</v>
      </c>
      <c r="B6" s="2">
        <v>0</v>
      </c>
      <c r="C6" s="2">
        <v>0</v>
      </c>
      <c r="D6" s="2">
        <v>1.5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2">
      <c r="A8" s="7" t="s">
        <v>12</v>
      </c>
      <c r="B8" s="7"/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 t="s">
        <v>13</v>
      </c>
      <c r="B9" s="3">
        <v>40000</v>
      </c>
      <c r="C9" s="3">
        <v>40000</v>
      </c>
      <c r="D9" s="3">
        <v>40000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 t="s">
        <v>14</v>
      </c>
      <c r="B10" s="3">
        <v>15000</v>
      </c>
      <c r="C10" s="3">
        <v>15000</v>
      </c>
      <c r="D10" s="3">
        <v>15000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 t="s">
        <v>15</v>
      </c>
      <c r="B11" s="10">
        <v>2.5</v>
      </c>
      <c r="C11" s="10">
        <v>0.25</v>
      </c>
      <c r="D11" s="10">
        <v>0.16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 t="s">
        <v>16</v>
      </c>
      <c r="B12" s="4">
        <f t="shared" ref="B12:D12" si="0">B11*B4</f>
        <v>0.38531568999999999</v>
      </c>
      <c r="C12" s="4">
        <f t="shared" si="0"/>
        <v>0.20323250000000001</v>
      </c>
      <c r="D12" s="4">
        <f t="shared" si="0"/>
        <v>2.4660204160000001E-2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 t="s">
        <v>17</v>
      </c>
      <c r="B13" s="4">
        <f t="shared" ref="B13:D13" si="1">(B5*B9)/1000000</f>
        <v>0</v>
      </c>
      <c r="C13" s="4">
        <f t="shared" si="1"/>
        <v>0</v>
      </c>
      <c r="D13" s="4">
        <f t="shared" si="1"/>
        <v>0.01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 t="s">
        <v>18</v>
      </c>
      <c r="B14" s="4">
        <f t="shared" ref="B14:D14" si="2">(B10*B6)/1000000</f>
        <v>0</v>
      </c>
      <c r="C14" s="4">
        <f t="shared" si="2"/>
        <v>0</v>
      </c>
      <c r="D14" s="4">
        <f t="shared" si="2"/>
        <v>2.2499999999999999E-2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 t="s">
        <v>19</v>
      </c>
      <c r="B15" s="4">
        <f t="shared" ref="B15:D15" si="3">B13+B14</f>
        <v>0</v>
      </c>
      <c r="C15" s="4">
        <f t="shared" si="3"/>
        <v>0</v>
      </c>
      <c r="D15" s="4">
        <f t="shared" si="3"/>
        <v>3.2500000000000001E-2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 t="s">
        <v>20</v>
      </c>
      <c r="B16" s="4">
        <f t="shared" ref="B16:D16" si="4">B12+B15</f>
        <v>0.38531568999999999</v>
      </c>
      <c r="C16" s="4">
        <f t="shared" si="4"/>
        <v>0.20323250000000001</v>
      </c>
      <c r="D16" s="4">
        <f t="shared" si="4"/>
        <v>5.7160204160000005E-2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x14ac:dyDescent="0.2">
      <c r="A18" s="7" t="s">
        <v>21</v>
      </c>
      <c r="B18" s="7"/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 t="s">
        <v>13</v>
      </c>
      <c r="B19" s="3">
        <f t="shared" ref="B19:D19" si="5">B9*10</f>
        <v>400000</v>
      </c>
      <c r="C19" s="3">
        <f t="shared" si="5"/>
        <v>400000</v>
      </c>
      <c r="D19" s="3">
        <f t="shared" si="5"/>
        <v>400000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 t="s">
        <v>14</v>
      </c>
      <c r="B20" s="3">
        <f t="shared" ref="B20:D20" si="6">B10*10</f>
        <v>150000</v>
      </c>
      <c r="C20" s="3">
        <f t="shared" si="6"/>
        <v>150000</v>
      </c>
      <c r="D20" s="3">
        <f t="shared" si="6"/>
        <v>150000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8" t="s">
        <v>15</v>
      </c>
      <c r="B21" s="9">
        <f t="shared" ref="B21:D21" si="7">B11*10</f>
        <v>25</v>
      </c>
      <c r="C21" s="9">
        <f t="shared" si="7"/>
        <v>2.5</v>
      </c>
      <c r="D21" s="9">
        <f t="shared" si="7"/>
        <v>1.6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 t="s">
        <v>16</v>
      </c>
      <c r="B22" s="4">
        <f t="shared" ref="B22:D22" si="8">B12*10</f>
        <v>3.8531569000000001</v>
      </c>
      <c r="C22" s="4">
        <f t="shared" si="8"/>
        <v>2.0323250000000002</v>
      </c>
      <c r="D22" s="4">
        <f t="shared" si="8"/>
        <v>0.24660204160000002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 t="s">
        <v>17</v>
      </c>
      <c r="B23" s="4">
        <f t="shared" ref="B23:D23" si="9">B13*10</f>
        <v>0</v>
      </c>
      <c r="C23" s="4">
        <f t="shared" si="9"/>
        <v>0</v>
      </c>
      <c r="D23" s="4">
        <f t="shared" si="9"/>
        <v>0.1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 t="s">
        <v>18</v>
      </c>
      <c r="B24" s="4">
        <f t="shared" ref="B24:D24" si="10">B14*10</f>
        <v>0</v>
      </c>
      <c r="C24" s="4">
        <f t="shared" si="10"/>
        <v>0</v>
      </c>
      <c r="D24" s="4">
        <f t="shared" si="10"/>
        <v>0.22499999999999998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 t="s">
        <v>19</v>
      </c>
      <c r="B25" s="4">
        <f t="shared" ref="B25:D25" si="11">B15*10</f>
        <v>0</v>
      </c>
      <c r="C25" s="4">
        <f t="shared" si="11"/>
        <v>0</v>
      </c>
      <c r="D25" s="4">
        <f t="shared" si="11"/>
        <v>0.32500000000000001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x14ac:dyDescent="0.2">
      <c r="A26" s="1" t="s">
        <v>22</v>
      </c>
      <c r="B26" s="4">
        <f t="shared" ref="B26:D26" si="12">B16*10</f>
        <v>3.8531569000000001</v>
      </c>
      <c r="C26" s="4">
        <f t="shared" si="12"/>
        <v>2.0323250000000002</v>
      </c>
      <c r="D26" s="4">
        <f t="shared" si="12"/>
        <v>0.57160204160000005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8" t="s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5" t="s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5" t="s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Kasturirangan</dc:creator>
  <cp:lastModifiedBy>Evan Johnston</cp:lastModifiedBy>
  <dcterms:created xsi:type="dcterms:W3CDTF">2026-05-27T18:06:59Z</dcterms:created>
  <dcterms:modified xsi:type="dcterms:W3CDTF">2026-06-01T23:59:31Z</dcterms:modified>
</cp:coreProperties>
</file>